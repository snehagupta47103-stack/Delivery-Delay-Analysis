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EXCEL\EXCEL\"/>
    </mc:Choice>
  </mc:AlternateContent>
  <xr:revisionPtr revIDLastSave="0" documentId="8_{E8F80AC1-FBAF-4088-A348-6DF7C0FA423A}" xr6:coauthVersionLast="47" xr6:coauthVersionMax="47" xr10:uidLastSave="{00000000-0000-0000-0000-000000000000}"/>
  <bookViews>
    <workbookView xWindow="-108" yWindow="-108" windowWidth="23256" windowHeight="12456" activeTab="3" xr2:uid="{AB3508E8-83F7-44A8-8557-1B1ADD753CBF}"/>
  </bookViews>
  <sheets>
    <sheet name="Raw" sheetId="1" r:id="rId1"/>
    <sheet name="Lookup" sheetId="2" r:id="rId2"/>
    <sheet name="Clean" sheetId="3" r:id="rId3"/>
    <sheet name="Summary" sheetId="4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3" i="4"/>
  <c r="C2" i="4"/>
  <c r="O4" i="3" a="1"/>
  <c r="O5" i="3" a="1"/>
  <c r="O6" i="3" a="1"/>
  <c r="O7" i="3" a="1"/>
  <c r="O8" i="3" a="1"/>
  <c r="O9" i="3" a="1"/>
  <c r="O10" i="3" a="1"/>
  <c r="O11" i="3" a="1"/>
  <c r="O12" i="3" a="1"/>
  <c r="O13" i="3" a="1"/>
  <c r="O14" i="3" a="1"/>
  <c r="O3" i="3" a="1"/>
  <c r="N3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<sst xmlns="http://schemas.openxmlformats.org/spreadsheetml/2006/main" count="166" uniqueCount="36">
  <si>
    <t>record_id</t>
  </si>
  <si>
    <t>month</t>
  </si>
  <si>
    <t>route_id</t>
  </si>
  <si>
    <t>hub</t>
  </si>
  <si>
    <t>promised_days</t>
  </si>
  <si>
    <t>actual_days</t>
  </si>
  <si>
    <t>Jan</t>
  </si>
  <si>
    <t>Feb</t>
  </si>
  <si>
    <t>Mar</t>
  </si>
  <si>
    <t>R1</t>
  </si>
  <si>
    <t>R2</t>
  </si>
  <si>
    <t>R3</t>
  </si>
  <si>
    <t>R4</t>
  </si>
  <si>
    <t>Mumbai</t>
  </si>
  <si>
    <t>Chennai</t>
  </si>
  <si>
    <t>Delhi</t>
  </si>
  <si>
    <t>route</t>
  </si>
  <si>
    <t>service_type</t>
  </si>
  <si>
    <t>Metro Link</t>
  </si>
  <si>
    <t>City Dash</t>
  </si>
  <si>
    <t>Highway Freight</t>
  </si>
  <si>
    <t>Rural Feeder</t>
  </si>
  <si>
    <t>Express</t>
  </si>
  <si>
    <t>Standard</t>
  </si>
  <si>
    <t>BEFORE ROW COUNT :- 13 (WITH DUPLICATE VALUE)</t>
  </si>
  <si>
    <t>AFTER ROW COUNT :- 12 (WITHOUT DUPLICATE VALUE)</t>
  </si>
  <si>
    <t>delay_days</t>
  </si>
  <si>
    <t xml:space="preserve">TOTAL DELAY_DAYS BY HUB </t>
  </si>
  <si>
    <t>CHENNAI</t>
  </si>
  <si>
    <t>DELHI</t>
  </si>
  <si>
    <t>MUMBAI</t>
  </si>
  <si>
    <t>Row Labels</t>
  </si>
  <si>
    <t>Grand Total</t>
  </si>
  <si>
    <t>Column Labels</t>
  </si>
  <si>
    <t>Sum of delay_days</t>
  </si>
  <si>
    <t>PIVOT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</si>
</sst>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2" fontId="0" fillId="0" borderId="8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5" xfId="0" applyNumberFormat="1" applyBorder="1"/>
    <xf numFmtId="2" fontId="0" fillId="0" borderId="0" xfId="0" applyNumberFormat="1"/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/>
    <xf numFmtId="0" fontId="0" fillId="0" borderId="16" xfId="0" applyFill="1" applyBorder="1" applyAlignment="1">
      <alignment horizontal="center"/>
    </xf>
    <xf numFmtId="0" fontId="0" fillId="0" borderId="18" xfId="0" applyBorder="1"/>
    <xf numFmtId="0" fontId="0" fillId="0" borderId="17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9" xfId="0" applyFill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/>
    <xf numFmtId="0" fontId="0" fillId="0" borderId="23" xfId="0" applyBorder="1"/>
    <xf numFmtId="0" fontId="0" fillId="0" borderId="0" xfId="0" pivotButton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alignment horizontal="center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[analysis.xlsx]Summary!PivotTable1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DELAY_DAYS</a:t>
            </a:r>
            <a:r>
              <a:rPr lang="en-IN" baseline="0"/>
              <a:t> BY SERVICE TYPE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6702777777777775"/>
          <c:y val="4.9776496621815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941426071741036"/>
          <c:y val="0.17528526041215958"/>
          <c:w val="0.63598140857392826"/>
          <c:h val="0.6266260988825195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Summary!$B$10:$B$11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Summary!$A$12:$A$14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Summary!$B$12:$B$14</c:f>
              <c:numCache>
                <c:formatCode>0.00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3-4DBD-BBD9-433C0B7D71BF}"/>
            </c:ext>
          </c:extLst>
        </c:ser>
        <c:ser>
          <c:idx val="1"/>
          <c:order val="1"/>
          <c:tx>
            <c:strRef>
              <c:f>Summary!$C$10:$C$11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Summary!$A$12:$A$14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Summary!$C$12:$C$14</c:f>
              <c:numCache>
                <c:formatCode>0.00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3-4DBD-BBD9-433C0B7D71BF}"/>
            </c:ext>
          </c:extLst>
        </c:ser>
        <c:ser>
          <c:idx val="2"/>
          <c:order val="2"/>
          <c:tx>
            <c:strRef>
              <c:f>Summary!$D$10:$D$11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Summary!$A$12:$A$14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Summary!$D$12:$D$14</c:f>
              <c:numCache>
                <c:formatCode>0.00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3-4DBD-BBD9-433C0B7D7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4575712"/>
        <c:axId val="348874832"/>
        <c:axId val="496768944"/>
      </c:bar3DChart>
      <c:catAx>
        <c:axId val="4945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74832"/>
        <c:crosses val="autoZero"/>
        <c:auto val="1"/>
        <c:lblAlgn val="ctr"/>
        <c:lblOffset val="100"/>
        <c:noMultiLvlLbl val="0"/>
      </c:catAx>
      <c:valAx>
        <c:axId val="34887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575712"/>
        <c:crosses val="autoZero"/>
        <c:crossBetween val="between"/>
      </c:valAx>
      <c:serAx>
        <c:axId val="496768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87483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236481</xdr:colOff>
      <xdr:row>1</xdr:row>
      <xdr:rowOff>6437</xdr:rowOff>
    </xdr:from>
    <xdr:to>
      <xdr:col>13</xdr:col>
      <xdr:colOff>5254</xdr:colOff>
      <xdr:row>13</xdr:row>
      <xdr:rowOff>178675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CB01A7-A065-BEC4-27E4-C09FF9B81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" refreshedDate="46305.433188657407" createdVersion="8" refreshedVersion="8" minRefreshableVersion="3" recordCount="12" xr:uid="{5C865DFF-92E8-4053-B9A3-F29902FF67D4}">
  <cacheSource type="worksheet">
    <worksheetSource ref="H2:O14" sheet="Clean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2">
      <sharedItems containsSemiMixedTypes="0" containsString="0" containsNumber="1" containsInteger="1" minValue="2" maxValue="6"/>
    </cacheField>
    <cacheField name="actual_days" numFmtId="2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2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9"/>
  </r>
  <r>
    <n v="2"/>
    <x v="0"/>
    <s v="R2"/>
    <s v="Chennai"/>
    <n v="3"/>
    <n v="4"/>
    <x v="0"/>
    <n v="9"/>
  </r>
  <r>
    <n v="3"/>
    <x v="0"/>
    <s v="R3"/>
    <s v="Delhi"/>
    <n v="5"/>
    <n v="8"/>
    <x v="1"/>
    <n v="9"/>
  </r>
  <r>
    <n v="4"/>
    <x v="0"/>
    <s v="R4"/>
    <s v="Mumbai"/>
    <n v="6"/>
    <n v="10"/>
    <x v="1"/>
    <n v="9"/>
  </r>
  <r>
    <n v="5"/>
    <x v="1"/>
    <s v="R1"/>
    <s v="Chennai"/>
    <n v="2"/>
    <n v="5"/>
    <x v="0"/>
    <n v="9"/>
  </r>
  <r>
    <n v="6"/>
    <x v="1"/>
    <s v="R2"/>
    <s v="Delhi"/>
    <n v="3"/>
    <n v="3"/>
    <x v="0"/>
    <n v="9"/>
  </r>
  <r>
    <n v="7"/>
    <x v="1"/>
    <s v="R3"/>
    <s v="Delhi"/>
    <n v="5"/>
    <n v="10"/>
    <x v="1"/>
    <n v="9"/>
  </r>
  <r>
    <n v="8"/>
    <x v="1"/>
    <s v="R4"/>
    <s v="Chennai"/>
    <n v="6"/>
    <n v="7"/>
    <x v="1"/>
    <n v="9"/>
  </r>
  <r>
    <n v="9"/>
    <x v="2"/>
    <s v="R1"/>
    <s v="Delhi"/>
    <n v="2"/>
    <n v="8"/>
    <x v="0"/>
    <n v="9"/>
  </r>
  <r>
    <n v="10"/>
    <x v="2"/>
    <s v="R2"/>
    <s v="Mumbai"/>
    <n v="3"/>
    <n v="5"/>
    <x v="0"/>
    <n v="9"/>
  </r>
  <r>
    <n v="11"/>
    <x v="2"/>
    <s v="R3"/>
    <s v="Chennai"/>
    <n v="5"/>
    <n v="5"/>
    <x v="1"/>
    <n v="9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F93E0-D3F9-4A9D-B80E-82E5A227E3F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0:E14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axis="axisRow" showAll="0">
      <items count="3">
        <item x="0"/>
        <item x="1"/>
        <item t="default"/>
      </items>
    </pivotField>
    <pivotField dataField="1" numFmtId="2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 numFmtId="2"/>
  </dataFields>
  <formats count="1">
    <format dxfId="0">
      <pivotArea type="all" dataOnly="0" outline="0" fieldPosition="0"/>
    </format>
  </formats>
  <chartFormats count="3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8A20-FB33-4879-9A6E-15F6BBCCDEED}">
  <dimension ref="A1:F14"/>
  <sheetViews>
    <sheetView workbookViewId="0">
      <selection sqref="A1:F13"/>
    </sheetView>
  </sheetViews>
  <sheetFormatPr defaultRowHeight="14.4" x14ac:dyDescent="0.3"/>
  <cols>
    <col min="5" max="5" width="17" customWidth="1"/>
    <col min="6" max="6" width="12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9</v>
      </c>
      <c r="D2" s="1" t="s">
        <v>13</v>
      </c>
      <c r="E2" s="1">
        <v>2</v>
      </c>
      <c r="F2" s="1">
        <v>2</v>
      </c>
    </row>
    <row r="3" spans="1:6" x14ac:dyDescent="0.3">
      <c r="A3" s="1">
        <v>2</v>
      </c>
      <c r="B3" s="1" t="s">
        <v>6</v>
      </c>
      <c r="C3" s="1" t="s">
        <v>10</v>
      </c>
      <c r="D3" s="1" t="s">
        <v>14</v>
      </c>
      <c r="E3" s="1">
        <v>3</v>
      </c>
      <c r="F3" s="1">
        <v>4</v>
      </c>
    </row>
    <row r="4" spans="1:6" x14ac:dyDescent="0.3">
      <c r="A4" s="1">
        <v>3</v>
      </c>
      <c r="B4" s="1" t="s">
        <v>6</v>
      </c>
      <c r="C4" s="1" t="s">
        <v>11</v>
      </c>
      <c r="D4" s="1" t="s">
        <v>15</v>
      </c>
      <c r="E4" s="1">
        <v>5</v>
      </c>
      <c r="F4" s="1">
        <v>8</v>
      </c>
    </row>
    <row r="5" spans="1:6" x14ac:dyDescent="0.3">
      <c r="A5" s="1">
        <v>4</v>
      </c>
      <c r="B5" s="1" t="s">
        <v>6</v>
      </c>
      <c r="C5" s="1" t="s">
        <v>12</v>
      </c>
      <c r="D5" s="1" t="s">
        <v>13</v>
      </c>
      <c r="E5" s="1">
        <v>6</v>
      </c>
      <c r="F5" s="1">
        <v>10</v>
      </c>
    </row>
    <row r="6" spans="1:6" x14ac:dyDescent="0.3">
      <c r="A6" s="1">
        <v>5</v>
      </c>
      <c r="B6" s="1" t="s">
        <v>7</v>
      </c>
      <c r="C6" s="1" t="s">
        <v>9</v>
      </c>
      <c r="D6" s="1" t="s">
        <v>14</v>
      </c>
      <c r="E6" s="1">
        <v>2</v>
      </c>
      <c r="F6" s="1">
        <v>5</v>
      </c>
    </row>
    <row r="7" spans="1:6" x14ac:dyDescent="0.3">
      <c r="A7" s="1">
        <v>6</v>
      </c>
      <c r="B7" s="1" t="s">
        <v>7</v>
      </c>
      <c r="C7" s="1" t="s">
        <v>10</v>
      </c>
      <c r="D7" s="1" t="s">
        <v>15</v>
      </c>
      <c r="E7" s="1">
        <v>3</v>
      </c>
      <c r="F7" s="1">
        <v>3</v>
      </c>
    </row>
    <row r="8" spans="1:6" x14ac:dyDescent="0.3">
      <c r="A8" s="1">
        <v>7</v>
      </c>
      <c r="B8" s="1" t="s">
        <v>7</v>
      </c>
      <c r="C8" s="1" t="s">
        <v>11</v>
      </c>
      <c r="D8" s="1" t="s">
        <v>15</v>
      </c>
      <c r="E8" s="1">
        <v>5</v>
      </c>
      <c r="F8" s="1">
        <v>10</v>
      </c>
    </row>
    <row r="9" spans="1:6" x14ac:dyDescent="0.3">
      <c r="A9" s="1">
        <v>8</v>
      </c>
      <c r="B9" s="1" t="s">
        <v>7</v>
      </c>
      <c r="C9" s="1" t="s">
        <v>12</v>
      </c>
      <c r="D9" s="1" t="s">
        <v>14</v>
      </c>
      <c r="E9" s="1">
        <v>6</v>
      </c>
      <c r="F9" s="1">
        <v>7</v>
      </c>
    </row>
    <row r="10" spans="1:6" x14ac:dyDescent="0.3">
      <c r="A10" s="1">
        <v>9</v>
      </c>
      <c r="B10" s="1" t="s">
        <v>8</v>
      </c>
      <c r="C10" s="1" t="s">
        <v>9</v>
      </c>
      <c r="D10" s="1" t="s">
        <v>15</v>
      </c>
      <c r="E10" s="1">
        <v>2</v>
      </c>
      <c r="F10" s="1">
        <v>8</v>
      </c>
    </row>
    <row r="11" spans="1:6" x14ac:dyDescent="0.3">
      <c r="A11" s="1">
        <v>10</v>
      </c>
      <c r="B11" s="1" t="s">
        <v>8</v>
      </c>
      <c r="C11" s="1" t="s">
        <v>10</v>
      </c>
      <c r="D11" s="1" t="s">
        <v>13</v>
      </c>
      <c r="E11" s="1">
        <v>3</v>
      </c>
      <c r="F11" s="1">
        <v>5</v>
      </c>
    </row>
    <row r="12" spans="1:6" x14ac:dyDescent="0.3">
      <c r="A12" s="1">
        <v>11</v>
      </c>
      <c r="B12" s="1" t="s">
        <v>8</v>
      </c>
      <c r="C12" s="1" t="s">
        <v>11</v>
      </c>
      <c r="D12" s="1" t="s">
        <v>14</v>
      </c>
      <c r="E12" s="1">
        <v>5</v>
      </c>
      <c r="F12" s="1">
        <v>5</v>
      </c>
    </row>
    <row r="13" spans="1:6" x14ac:dyDescent="0.3">
      <c r="A13" s="1">
        <v>12</v>
      </c>
      <c r="B13" s="1" t="s">
        <v>8</v>
      </c>
      <c r="C13" s="1" t="s">
        <v>12</v>
      </c>
      <c r="D13" s="1" t="s">
        <v>13</v>
      </c>
      <c r="E13" s="1">
        <v>6</v>
      </c>
      <c r="F13" s="1">
        <v>15</v>
      </c>
    </row>
    <row r="14" spans="1:6" x14ac:dyDescent="0.3">
      <c r="A14" s="1">
        <v>12</v>
      </c>
      <c r="B14" s="1" t="s">
        <v>8</v>
      </c>
      <c r="C14" s="1" t="s">
        <v>12</v>
      </c>
      <c r="D14" s="1" t="s">
        <v>13</v>
      </c>
      <c r="E14" s="1">
        <v>6</v>
      </c>
      <c r="F14" s="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A003-BDBD-4EA6-BE3A-65A076C5D636}">
  <dimension ref="A1:C5"/>
  <sheetViews>
    <sheetView workbookViewId="0">
      <selection activeCell="C28" sqref="C28"/>
    </sheetView>
  </sheetViews>
  <sheetFormatPr defaultRowHeight="14.4" x14ac:dyDescent="0.3"/>
  <cols>
    <col min="1" max="1" width="10.6640625" customWidth="1"/>
    <col min="2" max="2" width="17.88671875" customWidth="1"/>
    <col min="3" max="3" width="14.109375" customWidth="1"/>
  </cols>
  <sheetData>
    <row r="1" spans="1:3" x14ac:dyDescent="0.3">
      <c r="A1" s="1" t="s">
        <v>2</v>
      </c>
      <c r="B1" s="1" t="s">
        <v>16</v>
      </c>
      <c r="C1" s="1" t="s">
        <v>17</v>
      </c>
    </row>
    <row r="2" spans="1:3" x14ac:dyDescent="0.3">
      <c r="A2" s="1" t="s">
        <v>9</v>
      </c>
      <c r="B2" s="1" t="s">
        <v>18</v>
      </c>
      <c r="C2" s="1" t="s">
        <v>22</v>
      </c>
    </row>
    <row r="3" spans="1:3" x14ac:dyDescent="0.3">
      <c r="A3" s="1" t="s">
        <v>10</v>
      </c>
      <c r="B3" s="1" t="s">
        <v>19</v>
      </c>
      <c r="C3" s="1" t="s">
        <v>22</v>
      </c>
    </row>
    <row r="4" spans="1:3" x14ac:dyDescent="0.3">
      <c r="A4" s="1" t="s">
        <v>11</v>
      </c>
      <c r="B4" s="1" t="s">
        <v>20</v>
      </c>
      <c r="C4" s="1" t="s">
        <v>23</v>
      </c>
    </row>
    <row r="5" spans="1:3" x14ac:dyDescent="0.3">
      <c r="A5" s="1" t="s">
        <v>12</v>
      </c>
      <c r="B5" s="1" t="s">
        <v>21</v>
      </c>
      <c r="C5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98AD-1760-41F0-857C-F83170D1D99F}">
  <dimension ref="A1:O15"/>
  <sheetViews>
    <sheetView workbookViewId="0">
      <selection activeCell="F22" sqref="F22"/>
    </sheetView>
  </sheetViews>
  <sheetFormatPr defaultRowHeight="14.4" x14ac:dyDescent="0.3"/>
  <cols>
    <col min="5" max="5" width="16.33203125" customWidth="1"/>
    <col min="6" max="6" width="13.109375" customWidth="1"/>
    <col min="10" max="10" width="10.6640625" customWidth="1"/>
    <col min="11" max="11" width="11.33203125" customWidth="1"/>
    <col min="12" max="12" width="16" style="20" customWidth="1"/>
    <col min="13" max="13" width="13.5546875" style="20" customWidth="1"/>
    <col min="14" max="14" width="12.88671875" customWidth="1"/>
    <col min="15" max="15" width="11.109375" customWidth="1"/>
  </cols>
  <sheetData>
    <row r="1" spans="1:15" ht="15" thickBot="1" x14ac:dyDescent="0.35">
      <c r="A1" s="12" t="s">
        <v>24</v>
      </c>
      <c r="B1" s="13"/>
      <c r="C1" s="13"/>
      <c r="D1" s="13"/>
      <c r="E1" s="13"/>
      <c r="F1" s="14"/>
      <c r="H1" s="12" t="s">
        <v>25</v>
      </c>
      <c r="I1" s="13"/>
      <c r="J1" s="13"/>
      <c r="K1" s="13"/>
      <c r="L1" s="13"/>
      <c r="M1" s="30"/>
      <c r="N1" s="32"/>
      <c r="O1" s="31"/>
    </row>
    <row r="2" spans="1:15" x14ac:dyDescent="0.3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H2" s="9" t="s">
        <v>0</v>
      </c>
      <c r="I2" s="10" t="s">
        <v>1</v>
      </c>
      <c r="J2" s="10" t="s">
        <v>2</v>
      </c>
      <c r="K2" s="10" t="s">
        <v>3</v>
      </c>
      <c r="L2" s="17" t="s">
        <v>4</v>
      </c>
      <c r="M2" s="21" t="s">
        <v>5</v>
      </c>
      <c r="N2" s="24" t="s">
        <v>17</v>
      </c>
      <c r="O2" s="28" t="s">
        <v>26</v>
      </c>
    </row>
    <row r="3" spans="1:15" x14ac:dyDescent="0.3">
      <c r="A3" s="4">
        <v>1</v>
      </c>
      <c r="B3" s="3" t="s">
        <v>6</v>
      </c>
      <c r="C3" s="3" t="s">
        <v>9</v>
      </c>
      <c r="D3" s="3" t="s">
        <v>13</v>
      </c>
      <c r="E3" s="3">
        <v>2</v>
      </c>
      <c r="F3" s="5">
        <v>2</v>
      </c>
      <c r="H3" s="4">
        <v>1</v>
      </c>
      <c r="I3" s="3" t="s">
        <v>6</v>
      </c>
      <c r="J3" s="3" t="s">
        <v>9</v>
      </c>
      <c r="K3" s="3" t="s">
        <v>13</v>
      </c>
      <c r="L3" s="18">
        <v>2</v>
      </c>
      <c r="M3" s="22">
        <v>2</v>
      </c>
      <c r="N3" s="26" t="str" cm="1">
        <f t="array" ref="N3:N14">_xlfn.XLOOKUP(J3:J14,Lookup!A2:A5,Lookup!C2:C5)</f>
        <v>Express</v>
      </c>
      <c r="O3" s="29" cm="1">
        <f t="array" ref="O3">MAX(M3:M14 - L3:L14, 0)</f>
        <v>9</v>
      </c>
    </row>
    <row r="4" spans="1:15" x14ac:dyDescent="0.3">
      <c r="A4" s="4">
        <v>2</v>
      </c>
      <c r="B4" s="3" t="s">
        <v>6</v>
      </c>
      <c r="C4" s="3" t="s">
        <v>10</v>
      </c>
      <c r="D4" s="3" t="s">
        <v>14</v>
      </c>
      <c r="E4" s="3">
        <v>3</v>
      </c>
      <c r="F4" s="5">
        <v>4</v>
      </c>
      <c r="H4" s="4">
        <v>2</v>
      </c>
      <c r="I4" s="3" t="s">
        <v>6</v>
      </c>
      <c r="J4" s="3" t="s">
        <v>10</v>
      </c>
      <c r="K4" s="3" t="s">
        <v>14</v>
      </c>
      <c r="L4" s="18">
        <v>3</v>
      </c>
      <c r="M4" s="22">
        <v>4</v>
      </c>
      <c r="N4" s="26" t="str">
        <v>Express</v>
      </c>
      <c r="O4" s="29" cm="1">
        <f t="array" ref="O4">MAX(M4:M15 - L4:L15, 0)</f>
        <v>9</v>
      </c>
    </row>
    <row r="5" spans="1:15" x14ac:dyDescent="0.3">
      <c r="A5" s="4">
        <v>3</v>
      </c>
      <c r="B5" s="3" t="s">
        <v>6</v>
      </c>
      <c r="C5" s="3" t="s">
        <v>11</v>
      </c>
      <c r="D5" s="3" t="s">
        <v>15</v>
      </c>
      <c r="E5" s="3">
        <v>5</v>
      </c>
      <c r="F5" s="5">
        <v>8</v>
      </c>
      <c r="H5" s="4">
        <v>3</v>
      </c>
      <c r="I5" s="3" t="s">
        <v>6</v>
      </c>
      <c r="J5" s="3" t="s">
        <v>11</v>
      </c>
      <c r="K5" s="3" t="s">
        <v>15</v>
      </c>
      <c r="L5" s="18">
        <v>5</v>
      </c>
      <c r="M5" s="22">
        <v>8</v>
      </c>
      <c r="N5" s="26" t="str">
        <v>Standard</v>
      </c>
      <c r="O5" s="29" cm="1">
        <f t="array" ref="O5">MAX(M5:M16 - L5:L16, 0)</f>
        <v>9</v>
      </c>
    </row>
    <row r="6" spans="1:15" x14ac:dyDescent="0.3">
      <c r="A6" s="4">
        <v>4</v>
      </c>
      <c r="B6" s="3" t="s">
        <v>6</v>
      </c>
      <c r="C6" s="3" t="s">
        <v>12</v>
      </c>
      <c r="D6" s="3" t="s">
        <v>13</v>
      </c>
      <c r="E6" s="3">
        <v>6</v>
      </c>
      <c r="F6" s="5">
        <v>10</v>
      </c>
      <c r="H6" s="4">
        <v>4</v>
      </c>
      <c r="I6" s="3" t="s">
        <v>6</v>
      </c>
      <c r="J6" s="3" t="s">
        <v>12</v>
      </c>
      <c r="K6" s="3" t="s">
        <v>13</v>
      </c>
      <c r="L6" s="18">
        <v>6</v>
      </c>
      <c r="M6" s="22">
        <v>10</v>
      </c>
      <c r="N6" s="26" t="str">
        <v>Standard</v>
      </c>
      <c r="O6" s="29" cm="1">
        <f t="array" ref="O6">MAX(M6:M17 - L6:L17, 0)</f>
        <v>9</v>
      </c>
    </row>
    <row r="7" spans="1:15" x14ac:dyDescent="0.3">
      <c r="A7" s="4">
        <v>5</v>
      </c>
      <c r="B7" s="3" t="s">
        <v>7</v>
      </c>
      <c r="C7" s="3" t="s">
        <v>9</v>
      </c>
      <c r="D7" s="3" t="s">
        <v>14</v>
      </c>
      <c r="E7" s="3">
        <v>2</v>
      </c>
      <c r="F7" s="5">
        <v>5</v>
      </c>
      <c r="H7" s="4">
        <v>5</v>
      </c>
      <c r="I7" s="3" t="s">
        <v>7</v>
      </c>
      <c r="J7" s="3" t="s">
        <v>9</v>
      </c>
      <c r="K7" s="3" t="s">
        <v>14</v>
      </c>
      <c r="L7" s="18">
        <v>2</v>
      </c>
      <c r="M7" s="22">
        <v>5</v>
      </c>
      <c r="N7" s="26" t="str">
        <v>Express</v>
      </c>
      <c r="O7" s="29" cm="1">
        <f t="array" ref="O7">MAX(M7:M18 - L7:L18, 0)</f>
        <v>9</v>
      </c>
    </row>
    <row r="8" spans="1:15" x14ac:dyDescent="0.3">
      <c r="A8" s="4">
        <v>6</v>
      </c>
      <c r="B8" s="3" t="s">
        <v>7</v>
      </c>
      <c r="C8" s="3" t="s">
        <v>10</v>
      </c>
      <c r="D8" s="3" t="s">
        <v>15</v>
      </c>
      <c r="E8" s="3">
        <v>3</v>
      </c>
      <c r="F8" s="5">
        <v>3</v>
      </c>
      <c r="H8" s="4">
        <v>6</v>
      </c>
      <c r="I8" s="3" t="s">
        <v>7</v>
      </c>
      <c r="J8" s="3" t="s">
        <v>10</v>
      </c>
      <c r="K8" s="3" t="s">
        <v>15</v>
      </c>
      <c r="L8" s="18">
        <v>3</v>
      </c>
      <c r="M8" s="22">
        <v>3</v>
      </c>
      <c r="N8" s="26" t="str">
        <v>Express</v>
      </c>
      <c r="O8" s="29" cm="1">
        <f t="array" ref="O8">MAX(M8:M19 - L8:L19, 0)</f>
        <v>9</v>
      </c>
    </row>
    <row r="9" spans="1:15" x14ac:dyDescent="0.3">
      <c r="A9" s="4">
        <v>7</v>
      </c>
      <c r="B9" s="3" t="s">
        <v>7</v>
      </c>
      <c r="C9" s="3" t="s">
        <v>11</v>
      </c>
      <c r="D9" s="3" t="s">
        <v>15</v>
      </c>
      <c r="E9" s="3">
        <v>5</v>
      </c>
      <c r="F9" s="5">
        <v>10</v>
      </c>
      <c r="H9" s="4">
        <v>7</v>
      </c>
      <c r="I9" s="3" t="s">
        <v>7</v>
      </c>
      <c r="J9" s="3" t="s">
        <v>11</v>
      </c>
      <c r="K9" s="3" t="s">
        <v>15</v>
      </c>
      <c r="L9" s="18">
        <v>5</v>
      </c>
      <c r="M9" s="22">
        <v>10</v>
      </c>
      <c r="N9" s="26" t="str">
        <v>Standard</v>
      </c>
      <c r="O9" s="29" cm="1">
        <f t="array" ref="O9">MAX(M9:M20 - L9:L20, 0)</f>
        <v>9</v>
      </c>
    </row>
    <row r="10" spans="1:15" x14ac:dyDescent="0.3">
      <c r="A10" s="4">
        <v>8</v>
      </c>
      <c r="B10" s="3" t="s">
        <v>7</v>
      </c>
      <c r="C10" s="3" t="s">
        <v>12</v>
      </c>
      <c r="D10" s="3" t="s">
        <v>14</v>
      </c>
      <c r="E10" s="3">
        <v>6</v>
      </c>
      <c r="F10" s="5">
        <v>7</v>
      </c>
      <c r="H10" s="4">
        <v>8</v>
      </c>
      <c r="I10" s="3" t="s">
        <v>7</v>
      </c>
      <c r="J10" s="3" t="s">
        <v>12</v>
      </c>
      <c r="K10" s="3" t="s">
        <v>14</v>
      </c>
      <c r="L10" s="18">
        <v>6</v>
      </c>
      <c r="M10" s="22">
        <v>7</v>
      </c>
      <c r="N10" s="26" t="str">
        <v>Standard</v>
      </c>
      <c r="O10" s="29" cm="1">
        <f t="array" ref="O10">MAX(M10:M21 - L10:L21, 0)</f>
        <v>9</v>
      </c>
    </row>
    <row r="11" spans="1:15" x14ac:dyDescent="0.3">
      <c r="A11" s="4">
        <v>9</v>
      </c>
      <c r="B11" s="3" t="s">
        <v>8</v>
      </c>
      <c r="C11" s="3" t="s">
        <v>9</v>
      </c>
      <c r="D11" s="3" t="s">
        <v>15</v>
      </c>
      <c r="E11" s="3">
        <v>2</v>
      </c>
      <c r="F11" s="5">
        <v>8</v>
      </c>
      <c r="H11" s="4">
        <v>9</v>
      </c>
      <c r="I11" s="3" t="s">
        <v>8</v>
      </c>
      <c r="J11" s="3" t="s">
        <v>9</v>
      </c>
      <c r="K11" s="3" t="s">
        <v>15</v>
      </c>
      <c r="L11" s="18">
        <v>2</v>
      </c>
      <c r="M11" s="22">
        <v>8</v>
      </c>
      <c r="N11" s="26" t="str">
        <v>Express</v>
      </c>
      <c r="O11" s="29" cm="1">
        <f t="array" ref="O11">MAX(M11:M22 - L11:L22, 0)</f>
        <v>9</v>
      </c>
    </row>
    <row r="12" spans="1:15" x14ac:dyDescent="0.3">
      <c r="A12" s="4">
        <v>10</v>
      </c>
      <c r="B12" s="3" t="s">
        <v>8</v>
      </c>
      <c r="C12" s="3" t="s">
        <v>10</v>
      </c>
      <c r="D12" s="3" t="s">
        <v>13</v>
      </c>
      <c r="E12" s="3">
        <v>3</v>
      </c>
      <c r="F12" s="5">
        <v>5</v>
      </c>
      <c r="H12" s="4">
        <v>10</v>
      </c>
      <c r="I12" s="3" t="s">
        <v>8</v>
      </c>
      <c r="J12" s="3" t="s">
        <v>10</v>
      </c>
      <c r="K12" s="3" t="s">
        <v>13</v>
      </c>
      <c r="L12" s="18">
        <v>3</v>
      </c>
      <c r="M12" s="22">
        <v>5</v>
      </c>
      <c r="N12" s="26" t="str">
        <v>Express</v>
      </c>
      <c r="O12" s="29" cm="1">
        <f t="array" ref="O12">MAX(M12:M23 - L12:L23, 0)</f>
        <v>9</v>
      </c>
    </row>
    <row r="13" spans="1:15" x14ac:dyDescent="0.3">
      <c r="A13" s="4">
        <v>11</v>
      </c>
      <c r="B13" s="3" t="s">
        <v>8</v>
      </c>
      <c r="C13" s="3" t="s">
        <v>11</v>
      </c>
      <c r="D13" s="3" t="s">
        <v>14</v>
      </c>
      <c r="E13" s="3">
        <v>5</v>
      </c>
      <c r="F13" s="5">
        <v>5</v>
      </c>
      <c r="H13" s="4">
        <v>11</v>
      </c>
      <c r="I13" s="3" t="s">
        <v>8</v>
      </c>
      <c r="J13" s="3" t="s">
        <v>11</v>
      </c>
      <c r="K13" s="3" t="s">
        <v>14</v>
      </c>
      <c r="L13" s="18">
        <v>5</v>
      </c>
      <c r="M13" s="22">
        <v>5</v>
      </c>
      <c r="N13" s="26" t="str">
        <v>Standard</v>
      </c>
      <c r="O13" s="29" cm="1">
        <f t="array" ref="O13">MAX(M13:M24 - L13:L24, 0)</f>
        <v>9</v>
      </c>
    </row>
    <row r="14" spans="1:15" x14ac:dyDescent="0.3">
      <c r="A14" s="4">
        <v>12</v>
      </c>
      <c r="B14" s="3" t="s">
        <v>8</v>
      </c>
      <c r="C14" s="3" t="s">
        <v>12</v>
      </c>
      <c r="D14" s="3" t="s">
        <v>13</v>
      </c>
      <c r="E14" s="3">
        <v>6</v>
      </c>
      <c r="F14" s="5">
        <v>15</v>
      </c>
      <c r="H14" s="4">
        <v>12</v>
      </c>
      <c r="I14" s="3" t="s">
        <v>8</v>
      </c>
      <c r="J14" s="3" t="s">
        <v>12</v>
      </c>
      <c r="K14" s="3" t="s">
        <v>13</v>
      </c>
      <c r="L14" s="18">
        <v>6</v>
      </c>
      <c r="M14" s="22">
        <v>15</v>
      </c>
      <c r="N14" s="26" t="str">
        <v>Standard</v>
      </c>
      <c r="O14" s="29" cm="1">
        <f t="array" ref="O14">MAX(M14:M25 - L14:L25, 0)</f>
        <v>9</v>
      </c>
    </row>
    <row r="15" spans="1:15" ht="15" thickBot="1" x14ac:dyDescent="0.35">
      <c r="A15" s="6">
        <v>12</v>
      </c>
      <c r="B15" s="7" t="s">
        <v>8</v>
      </c>
      <c r="C15" s="7" t="s">
        <v>12</v>
      </c>
      <c r="D15" s="7" t="s">
        <v>13</v>
      </c>
      <c r="E15" s="7">
        <v>6</v>
      </c>
      <c r="F15" s="8">
        <v>15</v>
      </c>
      <c r="H15" s="15"/>
      <c r="I15" s="16"/>
      <c r="J15" s="16"/>
      <c r="K15" s="16"/>
      <c r="L15" s="19"/>
      <c r="M15" s="23"/>
      <c r="N15" s="25"/>
      <c r="O15" s="25"/>
    </row>
  </sheetData>
  <mergeCells count="2">
    <mergeCell ref="A1:F1"/>
    <mergeCell ref="H1:M1"/>
  </mergeCells>
  <conditionalFormatting sqref="A14:F15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D52E-7618-4812-A4EF-A89250AEC478}">
  <dimension ref="A1:O18"/>
  <sheetViews>
    <sheetView tabSelected="1" zoomScale="145" workbookViewId="0">
      <selection activeCell="E7" sqref="E7"/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3" width="8.109375" customWidth="1"/>
    <col min="4" max="4" width="10.44140625" customWidth="1"/>
    <col min="5" max="5" width="10.5546875" bestFit="1" customWidth="1"/>
  </cols>
  <sheetData>
    <row r="1" spans="1:15" ht="18.600000000000001" thickBot="1" x14ac:dyDescent="0.4">
      <c r="A1" s="45" t="s">
        <v>27</v>
      </c>
      <c r="B1" s="46"/>
      <c r="C1" s="46"/>
      <c r="D1" s="47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x14ac:dyDescent="0.3">
      <c r="A2" s="42" t="s">
        <v>28</v>
      </c>
      <c r="B2" s="43"/>
      <c r="C2" s="43">
        <f>SUMIFS(Clean!O3:O14, Clean!K3:K14, "Chennai")</f>
        <v>36</v>
      </c>
      <c r="D2" s="44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x14ac:dyDescent="0.3">
      <c r="A3" s="37" t="s">
        <v>29</v>
      </c>
      <c r="B3" s="2"/>
      <c r="C3" s="2">
        <f>SUMIFS(Clean!O3:O14,Clean!K3:K14,"Delhi")</f>
        <v>36</v>
      </c>
      <c r="D3" s="3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" thickBot="1" x14ac:dyDescent="0.35">
      <c r="A4" s="39" t="s">
        <v>30</v>
      </c>
      <c r="B4" s="40"/>
      <c r="C4" s="40">
        <f>SUMIFS(Clean!O3:O14,Clean!K3:K14,"Mumbai")</f>
        <v>36</v>
      </c>
      <c r="D4" s="41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5" x14ac:dyDescent="0.3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</row>
    <row r="6" spans="1:15" ht="15" thickBot="1" x14ac:dyDescent="0.3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48" thickBot="1" x14ac:dyDescent="0.95">
      <c r="A7" s="34" t="s">
        <v>35</v>
      </c>
      <c r="B7" s="35"/>
      <c r="C7" s="36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1:15" x14ac:dyDescent="0.3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x14ac:dyDescent="0.3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</row>
    <row r="10" spans="1:15" x14ac:dyDescent="0.3">
      <c r="A10" s="33" t="s">
        <v>34</v>
      </c>
      <c r="B10" s="33" t="s">
        <v>33</v>
      </c>
      <c r="C10" s="1"/>
      <c r="D10" s="1"/>
      <c r="E10" s="1"/>
      <c r="F10" s="48"/>
      <c r="G10" s="48"/>
      <c r="H10" s="48"/>
      <c r="I10" s="48"/>
      <c r="J10" s="48"/>
      <c r="K10" s="48"/>
      <c r="L10" s="48"/>
      <c r="M10" s="48"/>
      <c r="N10" s="48"/>
      <c r="O10" s="48"/>
    </row>
    <row r="11" spans="1:15" x14ac:dyDescent="0.3">
      <c r="A11" s="33" t="s">
        <v>31</v>
      </c>
      <c r="B11" s="1" t="s">
        <v>6</v>
      </c>
      <c r="C11" s="1" t="s">
        <v>7</v>
      </c>
      <c r="D11" s="1" t="s">
        <v>8</v>
      </c>
      <c r="E11" s="1" t="s">
        <v>32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</row>
    <row r="12" spans="1:15" x14ac:dyDescent="0.3">
      <c r="A12" s="1" t="s">
        <v>22</v>
      </c>
      <c r="B12" s="27">
        <v>18</v>
      </c>
      <c r="C12" s="27">
        <v>18</v>
      </c>
      <c r="D12" s="27">
        <v>18</v>
      </c>
      <c r="E12" s="27">
        <v>54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5" x14ac:dyDescent="0.3">
      <c r="A13" s="1" t="s">
        <v>23</v>
      </c>
      <c r="B13" s="27">
        <v>18</v>
      </c>
      <c r="C13" s="27">
        <v>18</v>
      </c>
      <c r="D13" s="27">
        <v>18</v>
      </c>
      <c r="E13" s="27">
        <v>54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spans="1:15" x14ac:dyDescent="0.3">
      <c r="A14" s="1" t="s">
        <v>32</v>
      </c>
      <c r="B14" s="27">
        <v>36</v>
      </c>
      <c r="C14" s="27">
        <v>36</v>
      </c>
      <c r="D14" s="27">
        <v>36</v>
      </c>
      <c r="E14" s="27">
        <v>108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spans="1:15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  <row r="16" spans="1:15" x14ac:dyDescent="0.3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</row>
    <row r="17" spans="1:15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</row>
    <row r="18" spans="1:15" x14ac:dyDescent="0.3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</row>
  </sheetData>
  <mergeCells count="8">
    <mergeCell ref="A7:C7"/>
    <mergeCell ref="A1:D1"/>
    <mergeCell ref="A2:B2"/>
    <mergeCell ref="A3:B3"/>
    <mergeCell ref="A4:B4"/>
    <mergeCell ref="C2:D2"/>
    <mergeCell ref="C3:D3"/>
    <mergeCell ref="C4:D4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guptarajubhai636@gmail.com</dc:creator>
  <cp:lastModifiedBy>guptarajubhai636@gmail.com</cp:lastModifiedBy>
  <dcterms:created xsi:type="dcterms:W3CDTF">2026-10-10T04:21:19Z</dcterms:created>
  <dcterms:modified xsi:type="dcterms:W3CDTF">2026-10-10T05:16:22Z</dcterms:modified>
</cp:coreProperties>
</file>